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 and Seminars\2024\PCARRD\"/>
    </mc:Choice>
  </mc:AlternateContent>
  <xr:revisionPtr revIDLastSave="0" documentId="8_{E296D668-4A8D-4A22-B9C2-F0A46410CE93}" xr6:coauthVersionLast="47" xr6:coauthVersionMax="47" xr10:uidLastSave="{00000000-0000-0000-0000-000000000000}"/>
  <bookViews>
    <workbookView xWindow="-110" yWindow="-110" windowWidth="22620" windowHeight="13500" xr2:uid="{73C8B55D-C80B-4679-AD0F-0B3B44577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<sst xmlns="http://schemas.openxmlformats.org/spreadsheetml/2006/main" count="10" uniqueCount="10">
  <si>
    <t>treatment</t>
  </si>
  <si>
    <t>block</t>
  </si>
  <si>
    <t>DTE</t>
  </si>
  <si>
    <t>HT15</t>
  </si>
  <si>
    <t>HT30</t>
  </si>
  <si>
    <t>HT45</t>
  </si>
  <si>
    <t>HT60</t>
  </si>
  <si>
    <t>DTF</t>
  </si>
  <si>
    <t>DTM</t>
  </si>
  <si>
    <t>HERBAGE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</si>
</sst>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Font="1"/>
  </cellXfs>
  <cellStyles count="2">
    <cellStyle name="Normal" xfId="0" builtinId="0"/>
    <cellStyle name="Normal 2" xfId="1" xr:uid="{7424010F-E3F4-4ABD-B209-2C8186655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75A8-B792-47CC-B937-32563E969175}">
  <dimension ref="A1:J16"/>
  <sheetViews>
    <sheetView tabSelected="1" workbookViewId="0">
      <selection sqref="A1:J16"/>
    </sheetView>
  </sheetViews>
  <sheetFormatPr defaultRowHeight="14.5"/>
  <sheetData>
    <row r="1" spans="1:10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5" t="s">
        <v>6</v>
      </c>
      <c r="H1" t="s">
        <v>7</v>
      </c>
      <c r="I1" t="s">
        <v>8</v>
      </c>
      <c r="J1" s="4" t="s">
        <v>9</v>
      </c>
    </row>
    <row r="2" spans="1:10">
      <c r="A2" s="1">
        <v>1</v>
      </c>
      <c r="B2" s="1">
        <v>1</v>
      </c>
      <c r="C2" s="1">
        <v>4</v>
      </c>
      <c r="D2" s="3">
        <v>56.2</v>
      </c>
      <c r="E2" s="3">
        <v>102.2</v>
      </c>
      <c r="F2" s="3">
        <v>152.1</v>
      </c>
      <c r="G2" s="3">
        <v>209.5</v>
      </c>
      <c r="H2">
        <v>44</v>
      </c>
      <c r="I2">
        <v>60</v>
      </c>
      <c r="J2" s="4">
        <f>15.8*10000</f>
        <v>158000</v>
      </c>
    </row>
    <row r="3" spans="1:10">
      <c r="A3" s="1">
        <v>1</v>
      </c>
      <c r="B3" s="1">
        <v>2</v>
      </c>
      <c r="C3" s="1">
        <v>4</v>
      </c>
      <c r="D3" s="3">
        <v>53.9</v>
      </c>
      <c r="E3" s="3">
        <v>92.9</v>
      </c>
      <c r="F3" s="3">
        <v>140</v>
      </c>
      <c r="G3" s="3">
        <v>193.5</v>
      </c>
      <c r="H3">
        <v>44</v>
      </c>
      <c r="I3">
        <v>60</v>
      </c>
      <c r="J3" s="4">
        <f>19.2*10000</f>
        <v>192000</v>
      </c>
    </row>
    <row r="4" spans="1:10">
      <c r="A4" s="1">
        <v>1</v>
      </c>
      <c r="B4" s="1">
        <v>3</v>
      </c>
      <c r="C4" s="1">
        <v>4</v>
      </c>
      <c r="D4" s="3">
        <v>53.4</v>
      </c>
      <c r="E4" s="3">
        <v>90.4</v>
      </c>
      <c r="F4" s="3">
        <v>134.5</v>
      </c>
      <c r="G4" s="3">
        <v>188.6</v>
      </c>
      <c r="H4">
        <v>44</v>
      </c>
      <c r="I4">
        <v>60</v>
      </c>
      <c r="J4" s="4">
        <f>18*10000</f>
        <v>180000</v>
      </c>
    </row>
    <row r="5" spans="1:10">
      <c r="A5" s="1">
        <v>1</v>
      </c>
      <c r="B5" s="1">
        <v>4</v>
      </c>
      <c r="C5" s="1">
        <v>4</v>
      </c>
      <c r="D5" s="3">
        <v>52.2</v>
      </c>
      <c r="E5" s="3">
        <v>89</v>
      </c>
      <c r="F5" s="3">
        <v>128.69999999999999</v>
      </c>
      <c r="G5" s="3">
        <v>182.8</v>
      </c>
      <c r="H5">
        <v>44</v>
      </c>
      <c r="I5">
        <v>60</v>
      </c>
      <c r="J5" s="4">
        <f>15.5*10000</f>
        <v>155000</v>
      </c>
    </row>
    <row r="6" spans="1:10">
      <c r="A6" s="1">
        <v>1</v>
      </c>
      <c r="B6" s="1">
        <v>5</v>
      </c>
      <c r="C6" s="1">
        <v>4</v>
      </c>
      <c r="D6" s="3">
        <v>54.6</v>
      </c>
      <c r="E6" s="3">
        <v>101.7</v>
      </c>
      <c r="F6" s="3">
        <v>150.19999999999999</v>
      </c>
      <c r="G6" s="3">
        <v>207.2</v>
      </c>
      <c r="H6">
        <v>44</v>
      </c>
      <c r="I6">
        <v>60</v>
      </c>
      <c r="J6" s="4">
        <f>18.5*10000</f>
        <v>185000</v>
      </c>
    </row>
    <row r="7" spans="1:10">
      <c r="A7" s="1">
        <v>2</v>
      </c>
      <c r="B7" s="1">
        <v>1</v>
      </c>
      <c r="C7" s="1">
        <v>7</v>
      </c>
      <c r="D7" s="3">
        <v>47.3</v>
      </c>
      <c r="E7" s="3">
        <v>73.5</v>
      </c>
      <c r="F7" s="3">
        <v>130.80000000000001</v>
      </c>
      <c r="G7" s="3">
        <v>172.6</v>
      </c>
      <c r="H7">
        <v>76</v>
      </c>
      <c r="I7">
        <v>90</v>
      </c>
      <c r="J7" s="4">
        <f t="shared" ref="J7:J11" si="0">25.5*10000</f>
        <v>255000</v>
      </c>
    </row>
    <row r="8" spans="1:10">
      <c r="A8" s="1">
        <v>2</v>
      </c>
      <c r="B8" s="1">
        <v>2</v>
      </c>
      <c r="C8" s="1">
        <v>7</v>
      </c>
      <c r="D8" s="3">
        <v>44.4</v>
      </c>
      <c r="E8" s="3">
        <v>72.400000000000006</v>
      </c>
      <c r="F8" s="3">
        <v>119.2</v>
      </c>
      <c r="G8" s="3">
        <v>159.1</v>
      </c>
      <c r="H8">
        <v>76</v>
      </c>
      <c r="I8">
        <v>90</v>
      </c>
      <c r="J8" s="4">
        <f t="shared" si="0"/>
        <v>255000</v>
      </c>
    </row>
    <row r="9" spans="1:10">
      <c r="A9" s="1">
        <v>2</v>
      </c>
      <c r="B9" s="1">
        <v>3</v>
      </c>
      <c r="C9" s="1">
        <v>7</v>
      </c>
      <c r="D9" s="3">
        <v>36.6</v>
      </c>
      <c r="E9" s="3">
        <v>70.099999999999994</v>
      </c>
      <c r="F9" s="3">
        <v>118.2</v>
      </c>
      <c r="G9" s="3">
        <v>158.4</v>
      </c>
      <c r="H9">
        <v>76</v>
      </c>
      <c r="I9">
        <v>90</v>
      </c>
      <c r="J9" s="4">
        <f>24*10000</f>
        <v>240000</v>
      </c>
    </row>
    <row r="10" spans="1:10">
      <c r="A10" s="1">
        <v>2</v>
      </c>
      <c r="B10" s="1">
        <v>4</v>
      </c>
      <c r="C10" s="1">
        <v>7</v>
      </c>
      <c r="D10" s="3">
        <v>38.200000000000003</v>
      </c>
      <c r="E10" s="3">
        <v>68.8</v>
      </c>
      <c r="F10" s="3">
        <v>118.6</v>
      </c>
      <c r="G10" s="3">
        <v>148.5</v>
      </c>
      <c r="H10">
        <v>76</v>
      </c>
      <c r="I10">
        <v>90</v>
      </c>
      <c r="J10" s="4">
        <f>25*10000</f>
        <v>250000</v>
      </c>
    </row>
    <row r="11" spans="1:10">
      <c r="A11" s="1">
        <v>2</v>
      </c>
      <c r="B11" s="1">
        <v>5</v>
      </c>
      <c r="C11" s="1">
        <v>7</v>
      </c>
      <c r="D11" s="3">
        <v>46.5</v>
      </c>
      <c r="E11" s="3">
        <v>74.8</v>
      </c>
      <c r="F11" s="3">
        <v>132.69999999999999</v>
      </c>
      <c r="G11" s="3">
        <v>174.5</v>
      </c>
      <c r="H11">
        <v>76</v>
      </c>
      <c r="I11">
        <v>90</v>
      </c>
      <c r="J11" s="4">
        <f t="shared" si="0"/>
        <v>255000</v>
      </c>
    </row>
    <row r="12" spans="1:10">
      <c r="A12" s="1">
        <v>3</v>
      </c>
      <c r="B12" s="1">
        <v>1</v>
      </c>
      <c r="C12" s="1">
        <v>13</v>
      </c>
      <c r="D12" s="3">
        <v>24.4</v>
      </c>
      <c r="E12" s="3">
        <v>38.700000000000003</v>
      </c>
      <c r="F12" s="3">
        <v>50.4</v>
      </c>
      <c r="G12" s="3">
        <v>74.2</v>
      </c>
      <c r="H12">
        <v>102</v>
      </c>
      <c r="I12">
        <v>120</v>
      </c>
      <c r="J12" s="4">
        <f>19*10000</f>
        <v>190000</v>
      </c>
    </row>
    <row r="13" spans="1:10">
      <c r="A13" s="1">
        <v>3</v>
      </c>
      <c r="B13" s="1">
        <v>2</v>
      </c>
      <c r="C13" s="1">
        <v>13</v>
      </c>
      <c r="D13" s="3">
        <v>21.9</v>
      </c>
      <c r="E13" s="3">
        <v>36.6</v>
      </c>
      <c r="F13" s="3">
        <v>45.9</v>
      </c>
      <c r="G13" s="3">
        <v>69.5</v>
      </c>
      <c r="H13">
        <v>102</v>
      </c>
      <c r="I13">
        <v>120</v>
      </c>
      <c r="J13" s="4">
        <f>19.5*10000</f>
        <v>195000</v>
      </c>
    </row>
    <row r="14" spans="1:10">
      <c r="A14" s="1">
        <v>3</v>
      </c>
      <c r="B14" s="1">
        <v>3</v>
      </c>
      <c r="C14" s="1">
        <v>13</v>
      </c>
      <c r="D14" s="3">
        <v>22.2</v>
      </c>
      <c r="E14" s="3">
        <v>37.299999999999997</v>
      </c>
      <c r="F14" s="3">
        <v>46.7</v>
      </c>
      <c r="G14" s="3">
        <v>70</v>
      </c>
      <c r="H14">
        <v>102</v>
      </c>
      <c r="I14">
        <v>120</v>
      </c>
      <c r="J14" s="4">
        <f>18.6*10000</f>
        <v>186000</v>
      </c>
    </row>
    <row r="15" spans="1:10">
      <c r="A15" s="1">
        <v>3</v>
      </c>
      <c r="B15" s="1">
        <v>4</v>
      </c>
      <c r="C15" s="1">
        <v>13</v>
      </c>
      <c r="D15" s="3">
        <v>22.3</v>
      </c>
      <c r="E15" s="3">
        <v>36</v>
      </c>
      <c r="F15" s="3">
        <v>45.6</v>
      </c>
      <c r="G15" s="3">
        <v>71.8</v>
      </c>
      <c r="H15">
        <v>102</v>
      </c>
      <c r="I15">
        <v>120</v>
      </c>
      <c r="J15" s="4">
        <f>19*10000</f>
        <v>190000</v>
      </c>
    </row>
    <row r="16" spans="1:10">
      <c r="A16" s="1">
        <v>3</v>
      </c>
      <c r="B16" s="1">
        <v>5</v>
      </c>
      <c r="C16" s="1">
        <v>13</v>
      </c>
      <c r="D16" s="3">
        <v>25.7</v>
      </c>
      <c r="E16" s="3">
        <v>39.1</v>
      </c>
      <c r="F16" s="3">
        <v>51.4</v>
      </c>
      <c r="G16" s="3">
        <v>77.400000000000006</v>
      </c>
      <c r="H16">
        <v>102</v>
      </c>
      <c r="I16">
        <v>120</v>
      </c>
      <c r="J16" s="4">
        <f>21*10000</f>
        <v>210000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Norberto Milla</cp:lastModifiedBy>
  <dcterms:created xsi:type="dcterms:W3CDTF">2023-05-29T08:50:41Z</dcterms:created>
  <dcterms:modified xsi:type="dcterms:W3CDTF">2024-10-07T05:36:12Z</dcterms:modified>
</cp:coreProperties>
</file>